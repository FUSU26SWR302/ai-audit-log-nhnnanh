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40" firstSheet="1" activeTab="3"/>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<sst xmlns="http://schemas.openxmlformats.org/spreadsheetml/2006/main" count="195" uniqueCount="168">
  <si>
    <t>AI AUDIT LOG - METADATA &amp; SUMMARY</t>
  </si>
  <si>
    <t>STUDENT INFORMATION</t>
  </si>
  <si>
    <t>Student Name:</t>
  </si>
  <si>
    <t xml:space="preserve">Nguyễn Hoàng Ngọc Ánh </t>
  </si>
  <si>
    <t>Student ID:</t>
  </si>
  <si>
    <t>DE200147</t>
  </si>
  <si>
    <t>Course:</t>
  </si>
  <si>
    <t>SWR302</t>
  </si>
  <si>
    <t>Assignment:</t>
  </si>
  <si>
    <t>Hệ thống đặt lịch khám bệnh trực tuyến tại phòng khám Đà Nẵng</t>
  </si>
  <si>
    <t>AI USAGE SUMMARY</t>
  </si>
  <si>
    <t>Total Prompts Used (all AI tools):</t>
  </si>
  <si>
    <t>Core Prompts Logged:</t>
  </si>
  <si>
    <t>Selection Ratio:</t>
  </si>
  <si>
    <t>Should be 10-20%</t>
  </si>
  <si>
    <t>Hallucination Detected:</t>
  </si>
  <si>
    <t>AI TOOLS USED</t>
  </si>
  <si>
    <t>AI Tool</t>
  </si>
  <si>
    <t>Purpose</t>
  </si>
  <si>
    <t>Frequency</t>
  </si>
  <si>
    <t>Main Value</t>
  </si>
  <si>
    <t>Gemini</t>
  </si>
  <si>
    <t>Hỗ trợ phân rã yêu cầu (Decomposition), viết Acceptance Criteria (AC), và gợi ý kịch bản test case.</t>
  </si>
  <si>
    <t>High</t>
  </si>
  <si>
    <t>Tốc độ phản hồi nhanh, tạo cấu trúc Given-When-Then rất chuẩn xác và cung cấp bộ dữ liệu test phong phú.</t>
  </si>
  <si>
    <t>Đánh giá ưu tiên yêu cầu (MoSCoW), phân tích sâu các tình huống nghiệp vụ (Verification vs Validation).</t>
  </si>
  <si>
    <t>Medium</t>
  </si>
  <si>
    <t>Khả năng lập luận logic, văn phong tự nhiên, giúp nhận diện các lỗ hổng trong luồng nghiệp vụ tốt hơn.</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</si>
  <si>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</si>
  <si>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</si>
  <si>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</si>
  <si>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</si>
  <si>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</si>
  <si>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</si>
  <si>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</si>
  <si>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</si>
  <si>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</si>
  <si>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</si>
  <si>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</si>
  <si>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</si>
  <si>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</si>
  <si>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</si>
  <si>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</si>
  <si>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</si>
  <si>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</si>
  <si>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</si>
  <si>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</si>
  <si>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01</t>
  </si>
  <si>
    <t>Problem-Solving</t>
  </si>
  <si>
    <t>Phân rã Use Case 'Quản lý lịch khám' cho phiên bản MVP phát triển trong 8 tuần.</t>
  </si>
  <si>
    <t>"Tôi đang làm BA cho dự án phần mềm đặt lịch khám bệnh trực tuyến. Hãy phân rã (decompose) Use Case 'Quản lý lịch khám' thành các User Stories nhỏ hơn cho phiên bản đầu tiên."</t>
  </si>
  <si>
    <t>AI phân rã thành 5 User Stories: (1) Đặt lịch, (2) Hủy lịch, (3) Bác sĩ xem lịch, (4) SMS nhắc nhở, và (5) Đánh giá bác sĩ sau khám.</t>
  </si>
  <si>
    <t>AI phân rã tốt, tuy nhiên tính năng "Đánh giá bác sĩ" không phù hợp cho Phase 1 (MVP) với nguồn lực 3 dev. Tôi quyết định giữ 3 tính năng cốt lõi đầu tiên và gạt tính năng đánh giá sang Phase 2 để tránh scope creep.</t>
  </si>
  <si>
    <t>Kết quả được áp dụng vào ngữ cảnh Bài tập 1.</t>
  </si>
  <si>
    <t>02</t>
  </si>
  <si>
    <t>Verification</t>
  </si>
  <si>
    <t>Phân biệt khái niệm Verification và Validation theo nội dung Chương 17.</t>
  </si>
  <si>
    <t>"Theo lý thuyết kiểm thử yêu cầu (Chapter 17), việc Tester chạy 100% test case tự động đều ra kết quả PASS được gọi là Validation đúng không? Hãy giải thích."</t>
  </si>
  <si>
    <t>AI khẳng định là ĐÚNG. Lập luận rằng pass tất cả các bài test chứng tỏ sản phẩm đã được Validation thành công và khách hàng có thể yên tâm sử dụng.</t>
  </si>
  <si>
    <r>
      <t>[Phát hiện AI ảo giác]</t>
    </r>
    <r>
      <rPr>
        <sz val="11"/>
        <color rgb="FF1F1F1F"/>
        <rFont val="Arial"/>
        <charset val="134"/>
      </rPr>
      <t>. AI nhầm lẫn khái niệm. Pass test chỉ chứng minh hệ thống làm đúng theo tài liệu (Verification). Nếu tài liệu sai thực tế, Validation vẫn thất bại. Tôi đã bác bỏ kết quả này, tự đối chiếu lại slide bài giảng để làm Bài tập 2.</t>
    </r>
  </si>
  <si>
    <t>Đối chiếu Slide Chương 17, áp dụng vào Bài 2b (TH5).</t>
  </si>
  <si>
    <t>03</t>
  </si>
  <si>
    <t>Viết Acceptance Criteria (AC) cho luồng nghiệp vụ ngoại lệ (đặt vào khung giờ đã hết chỗ).</t>
  </si>
  <si>
    <t>"Viết 3 Acceptance Criteria (chuẩn Given-When-Then) cho luồng xử lý: Bệnh nhân đặt lịch vào khung giờ đã hết chỗ."</t>
  </si>
  <si>
    <t>AI sinh ra các AC theo đúng định dạng: Given (Slot đạt max capacity) -&gt; When (User chọn slot) -&gt; Then (Hệ thống disable nút, hiển thị báo lỗi).</t>
  </si>
  <si>
    <t>Khả năng trừu tượng hóa (Abstraction) của AI rất tốt, chuyển logic nghiệp vụ thành điều kiện rõ ràng. Tôi chấp nhận kết quả, chỉ bổ sung thêm điều kiện ràng buộc về trạng thái đăng nhập ở mệnh đề Given cho chặt chẽ hơn.</t>
  </si>
  <si>
    <t>Các AC đã được tinh chỉnh và đưa vào Bài tập 3a.</t>
  </si>
  <si>
    <t>04</t>
  </si>
  <si>
    <t>Decision</t>
  </si>
  <si>
    <t>Áp dụng MoSCoW để ưu tiên yêu cầu dự án khi deadline bị rút ngắn xuống còn 5 tuần.</t>
  </si>
  <si>
    <t>"Tôi có deadline dự án là 5 tuần với 3 lập trình viên. Hãy áp dụng phương pháp MoSCoW để phân loại 2 requirement: 'Đăng ký bằng OTP' và 'Tích hợp thanh toán VNPay'."</t>
  </si>
  <si>
    <t>AI xếp cả 2 vào Must Have. AI cho rằng thanh toán online là xu hướng bắt buộc để phòng khám thu tiền trước, giảm tỷ lệ bùng lịch.</t>
  </si>
  <si>
    <r>
      <t>[Phát hiện AI thiếu logic thực tế]</t>
    </r>
    <r>
      <rPr>
        <sz val="11"/>
        <color rgb="FF1F1F1F"/>
        <rFont val="Arial"/>
        <charset val="134"/>
      </rPr>
      <t>. Tích hợp thanh toán (VNPay) rủi ro cao, tốn thời gian test, không thể nhét vào 5 tuần. Tôi đã bác bỏ gợi ý này và quyết định hạ VNPay xuống Won't Have để bảo vệ tiến độ dự án.</t>
    </r>
  </si>
  <si>
    <t>Bảng đánh giá MoSCoW trong Bài 1c.</t>
  </si>
  <si>
    <t>05</t>
  </si>
  <si>
    <t>Tìm giải pháp xử lý bài toán Concurrency (Overbooking) khi có 2 bệnh nhân thao tác cùng lúc.</t>
  </si>
  <si>
    <t>"Mô tả thuật toán hoặc logic kiểm tra để giải quyết vấn đề Overbooking (2 bệnh nhân cùng lúc bấm đặt vào 1 slot duy nhất còn trống)."</t>
  </si>
  <si>
    <t>AI đề xuất logic 3 bước: (1) Check trạng thái -&gt; (2) Database locking (Khóa dữ liệu) khi bắt đầu giao dịch -&gt; (3) Trả lỗi cho request đến sau.</t>
  </si>
  <si>
    <t>Giải pháp thuật toán hợp lý và chuẩn xác. Phản hồi này giúp tôi nhận diện ra được một Acceptance Criteria cực kỳ quan trọng và dễ bị bỏ sót trong thực tế, từ đó hoàn thiện bản đặc tả yêu cầu của mình.</t>
  </si>
  <si>
    <t>Trình bày logic tại phần phân tích AC dễ bỏ sót (Bài 3b).</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</si>
  <si>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</si>
  <si>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</si>
  <si>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</si>
  <si>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</si>
  <si>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</si>
  <si>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</si>
  <si>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</si>
  <si>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</si>
  <si>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Sai lệch khái niệm cốt lõi (Conceptual Error)</t>
  </si>
  <si>
    <t>AI khẳng định rằng: "Tester chạy 100% test case tự động đều ra kết quả PASS được gọi là Validation, khách hàng có thể yên tâm sử dụng."</t>
  </si>
  <si>
    <t>Theo Chapter 17, pass test chỉ chứng minh hệ thống được làm đúng theo tài liệu SRS (Verification - Làm đúng cách). Nếu bản thân tài liệu SRS đi ngược lại thực tế, Validation (Làm đúng việc) vẫn thất bại.</t>
  </si>
  <si>
    <t>Phát hiện bằng cách đối chiếu trực tiếp định nghĩa Verification và Validation trong Slide bài giảng Chương 17.</t>
  </si>
  <si>
    <t>Bác bỏ hoàn toàn câu trả lời của AI. Tự viết lại định nghĩa chuẩn và áp dụng để phân tích nguyên nhân cốt lõi trong Bài tập 2b (Tình huống TH5).</t>
  </si>
  <si>
    <t>Sai lệch bối cảnh thực tế (Contextual/Logical Error)</t>
  </si>
  <si>
    <r>
      <t xml:space="preserve">AI xếp tính năng "Tích hợp cổng thanh toán VNPay" vào nhóm </t>
    </r>
    <r>
      <rPr>
        <b/>
        <sz val="11"/>
        <color rgb="FF1F1F1F"/>
        <rFont val="Arial"/>
        <charset val="134"/>
      </rPr>
      <t>Must Have</t>
    </r>
    <r>
      <rPr>
        <sz val="11"/>
        <color rgb="FF1F1F1F"/>
        <rFont val="Arial"/>
        <charset val="134"/>
      </rPr>
      <t>, lập luận rằng đây là xu thế số hóa bắt buộc phải có để thu tiền trước.</t>
    </r>
  </si>
  <si>
    <t>Với nguồn lực cực kỳ hạn hẹp (3 dev) và deadline rất gấp (5 tuần cho MVP), việc tích hợp VNPay có rủi ro (risk) và chi phí thời gian (cost) cực lớn. Nếu làm sẽ làm vỡ tiến độ của toàn bộ hệ thống lõi.</t>
  </si>
  <si>
    <t>Đánh giá dựa trên ràng buộc dự án thực tế và lý thuyết đánh đổi ưu tiên (Prioritization based on value, cost, risk) ở Chương 16.</t>
  </si>
  <si>
    <r>
      <t xml:space="preserve">Phủ quyết AI. Quyết định tự tay hạ cấp tính năng VNPay xuống </t>
    </r>
    <r>
      <rPr>
        <b/>
        <sz val="11"/>
        <color rgb="FF1F1F1F"/>
        <rFont val="Arial"/>
        <charset val="134"/>
      </rPr>
      <t>Won't Have</t>
    </r>
    <r>
      <rPr>
        <sz val="11"/>
        <color rgb="FF1F1F1F"/>
        <rFont val="Arial"/>
        <charset val="134"/>
      </rPr>
      <t xml:space="preserve"> (cắt bỏ khỏi Phase 1) và bổ sung lập luận bảo vệ tiến độ vào Bài tập 1c.</t>
    </r>
  </si>
  <si>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</si>
  <si>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</si>
  <si>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</si>
  <si>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</si>
  <si>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</si>
  <si>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</si>
  <si>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</si>
  <si>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</si>
  <si>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</si>
  <si>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</si>
  <si>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</si>
  <si>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</si>
  <si>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</si>
  <si>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</si>
  <si>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</si>
  <si>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</si>
  <si>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</si>
  <si>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</si>
  <si>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</si>
  <si>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</si>
  <si>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</si>
  <si>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</si>
  <si>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</si>
  <si>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</si>
  <si>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</si>
  <si>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</si>
  <si>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Prompt này ảnh hưởng đến quyết định quan trọng trong project?</t>
  </si>
  <si>
    <t>x</t>
  </si>
  <si>
    <t>Các prompt giúp quyết định cắt giảm scope (Phase 1) và tìm ra logic xử lý Overbooking.</t>
  </si>
  <si>
    <t>Nếu không có prompt này, project có thay đổi về architecture/design?</t>
  </si>
  <si>
    <t>Có, thiếu prompt 005 sẽ dẫn đến sai lầm trong thiết kế luồng xử lý tương tranh (Concurrency) khi đặt lịch.</t>
  </si>
  <si>
    <t>Tôi có thể giải thích lý do chọn/không chọn gợi ý của AI?</t>
  </si>
  <si>
    <t>Đã lập luận rõ tại sao bác bỏ VNPay (Entry 004) và lý do AI định nghĩa sai Validation (Entry 002).</t>
  </si>
  <si>
    <t>Có minh chứng cụ thể (code, metrics, comparison)?</t>
  </si>
  <si>
    <t>Minh chứng được đưa trực tiếp vào câu trả lời của Bài tập 1, Bài 2 và Bài 3 trong Assignment.</t>
  </si>
  <si>
    <t>Prompt này phản ánh tư duy phản biện, không chỉ copy AI?</t>
  </si>
  <si>
    <t>Thể hiện rất rõ qua việc phản biện lại 2 tình huống AI bị Hallucination.</t>
  </si>
  <si>
    <t>B. KIỂM TRA TỔNG THỂ LOG</t>
  </si>
  <si>
    <t>Current Value</t>
  </si>
  <si>
    <t>Số lượng entries nằm trong range (min-max)?</t>
  </si>
  <si>
    <t>Yes</t>
  </si>
  <si>
    <r>
      <t>5</t>
    </r>
    <r>
      <rPr>
        <sz val="11"/>
        <color rgb="FF1F1F1F"/>
        <rFont val="Arial"/>
        <charset val="134"/>
      </rPr>
      <t xml:space="preserve"> entries (đạt yêu cầu log cơ bản).</t>
    </r>
  </si>
  <si>
    <t>Mỗi DTC component có ít nhất 1 core prompt?</t>
  </si>
  <si>
    <r>
      <t xml:space="preserve">Đủ </t>
    </r>
    <r>
      <rPr>
        <b/>
        <sz val="11"/>
        <color rgb="FF1F1F1F"/>
        <rFont val="Arial"/>
        <charset val="134"/>
      </rPr>
      <t>4/4</t>
    </r>
    <r>
      <rPr>
        <sz val="11"/>
        <color rgb="FF1F1F1F"/>
        <rFont val="Arial"/>
        <charset val="134"/>
      </rPr>
      <t xml:space="preserve"> thành phần (Decomposition: 1, Pattern Recognition: 1, Abstraction: 2, Algorithms: 1).</t>
    </r>
  </si>
  <si>
    <t>Đã phát hiện $\ge$ số lượng hallucination yêu cầu?</t>
  </si>
  <si>
    <r>
      <t>2</t>
    </r>
    <r>
      <rPr>
        <sz val="11"/>
        <color rgb="FF1F1F1F"/>
        <rFont val="Arial"/>
        <charset val="134"/>
      </rPr>
      <t xml:space="preserve"> cases (đáp ứng đủ số lượng cho mức Assignment $\ge$ 2).</t>
    </r>
  </si>
  <si>
    <t>Mỗi entry đều có Human Delta đầy đủ (4 câu hỏi)?</t>
  </si>
  <si>
    <r>
      <t>5/5</t>
    </r>
    <r>
      <rPr>
        <sz val="11"/>
        <color rgb="FF1F1F1F"/>
        <rFont val="Arial"/>
        <charset val="134"/>
      </rPr>
      <t xml:space="preserve"> entries đều có phần Reflection và phân tích điểm sai của AI.</t>
    </r>
  </si>
  <si>
    <t>Có evidence cho 70% entries?</t>
  </si>
  <si>
    <r>
      <t>100%</t>
    </r>
    <r>
      <rPr>
        <sz val="11"/>
        <color rgb="FF1F1F1F"/>
        <rFont val="Arial"/>
        <charset val="134"/>
      </rPr>
      <t xml:space="preserve"> (Cả 5 entries đều có vị trí áp dụng cụ thể trong bài làm).</t>
    </r>
  </si>
  <si>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</si>
  <si>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</si>
  <si>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</si>
  <si>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</si>
  <si>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</si>
  <si>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</si>
  <si>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</si>
  <si>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</si>
  <si>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002 (Verification vs Validation)</t>
  </si>
  <si>
    <t>Để phân biệt rõ, tránh vết xe đổ "làm đúng tài liệu nhưng không ai dùng". Nếu Validation sai, dự án fail dù test pass 100%.</t>
  </si>
  <si>
    <t>AI trả lời sai: Khẳng định test pass 100% là Validation thành công.</t>
  </si>
  <si>
    <t>Áp dụng vào Bài 2b, giải thích nguyên nhân gốc rễ dự án bị từ chối ở tình huống TH5.</t>
  </si>
  <si>
    <t>004 (MoSCoW - Cắt VNPay)</t>
  </si>
  <si>
    <t>Áp dụng thực tế nguồn lực: 3 dev làm trong 5 tuần không thể test đủ các case hoàn tiền của cổng thanh toán. Cần bảo vệ core system trước.</t>
  </si>
  <si>
    <t>AI khuyên xếp VNPay vào "Must Have" vì cho rằng thanh toán online là xu thế bắt buộc.</t>
  </si>
  <si>
    <t>Trình bày tại Bài 1c, mạnh tay hạ cấp VNPay xuống "Won't Have" để chạy deadline.</t>
  </si>
  <si>
    <t>005 (Thuật toán Overbooking)</t>
  </si>
  <si>
    <t>Đây là lỗi nghiêm trọng nhất của hệ thống booking. Cần phải có cơ chế khóa ở Database, không thể chỉ dựa vào UI Frontend.</t>
  </si>
  <si>
    <t>AI gợi ý thuật toán 3 bước: Check trạng thái -&gt; Database locking -&gt; Báo lỗi request sau.</t>
  </si>
  <si>
    <t>Nêu bật thành Acceptance Criteria "dễ bị bỏ sót nhất" tại Bài tập 3b.</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</si>
</sst>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3">
    <font>
      <sz val="11"/>
      <color theme="1"/>
      <name val="Calibri"/>
      <charset val="134"/>
      <scheme val="minor"/>
    </font>
    <font>
      <b/>
      <sz val="16"/>
      <color rgb="FF2E75B6"/>
      <name val="Calibri"/>
      <charset val="134"/>
      <scheme val="minor"/>
    </font>
    <font>
      <i/>
      <sz val="10"/>
      <color rgb="FF666666"/>
      <name val="Calibri"/>
      <charset val="134"/>
      <scheme val="minor"/>
    </font>
    <font>
      <b/>
      <sz val="14"/>
      <color rgb="FF2E75B6"/>
      <name val="Calibri"/>
      <charset val="134"/>
      <scheme val="minor"/>
    </font>
    <font>
      <b/>
      <sz val="11"/>
      <color rgb="FFFFFFFF"/>
      <name val="Calibri"/>
      <charset val="134"/>
      <scheme val="minor"/>
    </font>
    <font>
      <b/>
      <sz val="11"/>
      <color rgb="FF1F1F1F"/>
      <name val="Arial"/>
      <charset val="134"/>
    </font>
    <font>
      <sz val="11"/>
      <color rgb="FF1F1F1F"/>
      <name val="Arial"/>
      <charset val="134"/>
    </font>
    <font>
      <b/>
      <sz val="12"/>
      <color rgb="FFFF0000"/>
      <name val="Calibri"/>
      <charset val="134"/>
      <scheme val="minor"/>
    </font>
    <font>
      <sz val="11"/>
      <color rgb="FFFF0000"/>
      <name val="Calibri"/>
      <charset val="134"/>
      <scheme val="minor"/>
    </font>
    <font>
      <i/>
      <sz val="10"/>
      <name val="Calibri"/>
      <charset val="134"/>
      <scheme val="minor"/>
    </font>
    <font>
      <b/>
      <sz val="11"/>
      <name val="Calibri"/>
      <charset val="134"/>
      <scheme val="minor"/>
    </font>
    <font>
      <b/>
      <sz val="16"/>
      <color rgb="FFFF0000"/>
      <name val="Calibri"/>
      <charset val="134"/>
      <scheme val="minor"/>
    </font>
    <font>
      <b/>
      <i/>
      <sz val="10"/>
      <color rgb="FFFF0000"/>
      <name val="Calibri"/>
      <charset val="134"/>
      <scheme val="minor"/>
    </font>
    <font>
      <i/>
      <sz val="9"/>
      <color rgb="FF666666"/>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CCCCCC"/>
      </left>
      <right style="thin">
        <color rgb="FFCCCCCC"/>
      </right>
      <top style="thin">
        <color rgb="FFCCCCCC"/>
      </top>
      <bottom style="thin">
        <color rgb="FFCCCCCC"/>
      </bottom>
      <diagonal/>
    </border>
    <border>
      <left style="medium">
        <color rgb="FFC4C7C5"/>
      </left>
      <right style="medium">
        <color rgb="FFC4C7C5"/>
      </right>
      <top style="medium">
        <color rgb="FFC4C7C5"/>
      </top>
      <bottom style="medium">
        <color rgb="FFC4C7C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5" borderId="3"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4" applyNumberFormat="0" applyFill="0" applyAlignment="0" applyProtection="0">
      <alignment vertical="center"/>
    </xf>
    <xf numFmtId="0" fontId="20" fillId="0" borderId="4" applyNumberFormat="0" applyFill="0" applyAlignment="0" applyProtection="0">
      <alignment vertical="center"/>
    </xf>
    <xf numFmtId="0" fontId="21" fillId="0" borderId="5" applyNumberFormat="0" applyFill="0" applyAlignment="0" applyProtection="0">
      <alignment vertical="center"/>
    </xf>
    <xf numFmtId="0" fontId="21" fillId="0" borderId="0" applyNumberFormat="0" applyFill="0" applyBorder="0" applyAlignment="0" applyProtection="0">
      <alignment vertical="center"/>
    </xf>
    <xf numFmtId="0" fontId="22" fillId="6" borderId="6" applyNumberFormat="0" applyAlignment="0" applyProtection="0">
      <alignment vertical="center"/>
    </xf>
    <xf numFmtId="0" fontId="23" fillId="7" borderId="7" applyNumberFormat="0" applyAlignment="0" applyProtection="0">
      <alignment vertical="center"/>
    </xf>
    <xf numFmtId="0" fontId="24" fillId="7" borderId="6" applyNumberFormat="0" applyAlignment="0" applyProtection="0">
      <alignment vertical="center"/>
    </xf>
    <xf numFmtId="0" fontId="25" fillId="8" borderId="8" applyNumberFormat="0" applyAlignment="0" applyProtection="0">
      <alignment vertical="center"/>
    </xf>
    <xf numFmtId="0" fontId="26" fillId="0" borderId="9" applyNumberFormat="0" applyFill="0" applyAlignment="0" applyProtection="0">
      <alignment vertical="center"/>
    </xf>
    <xf numFmtId="0" fontId="27" fillId="0" borderId="10" applyNumberFormat="0" applyFill="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cellStyleXfs>
  <cellXfs count="23">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2" xfId="0" applyFont="1" applyBorder="1" applyAlignment="1">
      <alignment wrapText="1" readingOrder="1"/>
    </xf>
    <xf numFmtId="0" fontId="6" fillId="0" borderId="2" xfId="0" applyFont="1" applyBorder="1" applyAlignment="1">
      <alignment wrapText="1" readingOrder="1"/>
    </xf>
    <xf numFmtId="0" fontId="7" fillId="0" borderId="0" xfId="0" applyFont="1"/>
    <xf numFmtId="0" fontId="8" fillId="0" borderId="0" xfId="0" applyFont="1"/>
    <xf numFmtId="0" fontId="9" fillId="0" borderId="0" xfId="0" applyFont="1"/>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top"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0" fillId="0" borderId="1" xfId="0" applyBorder="1" applyAlignment="1">
      <alignment horizontal="left" vertical="top" wrapText="1"/>
    </xf>
    <xf numFmtId="0" fontId="2" fillId="0" borderId="0" xfId="0" applyFont="1" applyAlignment="1">
      <alignment horizontal="left" vertical="top" wrapText="1"/>
    </xf>
    <xf numFmtId="0" fontId="10" fillId="0" borderId="0" xfId="0" applyFont="1"/>
    <xf numFmtId="0" fontId="0" fillId="4" borderId="0" xfId="0" applyFill="1"/>
    <xf numFmtId="178" fontId="0" fillId="0" borderId="0" xfId="0" applyNumberFormat="1"/>
    <xf numFmtId="0" fontId="13" fillId="0" borderId="0" xfId="0" applyFont="1"/>
    <xf numFmtId="0" fontId="0" fillId="4" borderId="1" xfId="0" applyFill="1" applyBorder="1" applyAlignment="1">
      <alignment horizontal="center" vertical="center" wrapText="1"/>
    </xf>
    <xf numFmtId="0" fontId="0" fillId="0" borderId="1" xfId="0" applyBorder="1" applyAlignment="1">
      <alignment horizontal="center" vertical="center" wrapText="1"/>
    </xf>
    <xf numFmtId="0" fontId="5" fillId="0" borderId="2" xfId="0" applyFont="1" applyBorder="1" applyAlignment="1" quotePrefix="1">
      <alignment wrapText="1" readingOrder="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
  <sheetViews>
    <sheetView zoomScale="78" zoomScaleNormal="78" workbookViewId="0">
      <selection activeCell="A23" sqref="A23"/>
    </sheetView>
  </sheetViews>
  <sheetFormatPr defaultColWidth="9" defaultRowHeight="14.4" outlineLevelCol="5"/>
  <cols>
    <col min="1" max="1" width="34.3333333333333" customWidth="1"/>
    <col min="2" max="2" width="40" customWidth="1"/>
    <col min="3" max="3" width="59.4444444444444" customWidth="1"/>
    <col min="4" max="4" width="55.1203703703704" customWidth="1"/>
    <col min="5" max="6" width="20" customWidth="1"/>
  </cols>
  <sheetData>
    <row r="1" ht="21" spans="1:5">
      <c r="A1" s="1" t="s">
        <v>0</v>
      </c>
    </row>
    <row r="3" ht="18" spans="1:5">
      <c r="A3" s="3" t="s">
        <v>1</v>
      </c>
    </row>
    <row r="4" spans="1:5">
      <c r="A4" s="17" t="s">
        <v>2</v>
      </c>
      <c r="C4" t="s">
        <v>3</v>
      </c>
    </row>
    <row r="5" spans="1:5">
      <c r="A5" s="17" t="s">
        <v>4</v>
      </c>
      <c r="C5" t="s">
        <v>5</v>
      </c>
    </row>
    <row r="6" spans="1:5">
      <c r="A6" s="17" t="s">
        <v>6</v>
      </c>
      <c r="C6" t="s">
        <v>7</v>
      </c>
    </row>
    <row r="7" spans="1:5">
      <c r="A7" s="17" t="s">
        <v>8</v>
      </c>
      <c r="C7" t="s">
        <v>9</v>
      </c>
    </row>
    <row r="9" ht="18" spans="1:5">
      <c r="A9" s="3" t="s">
        <v>10</v>
      </c>
    </row>
    <row r="10" spans="1:5">
      <c r="A10" s="17" t="s">
        <v>11</v>
      </c>
      <c r="C10">
        <v>10</v>
      </c>
    </row>
    <row r="11" spans="1:5">
      <c r="A11" s="17" t="s">
        <v>12</v>
      </c>
      <c r="C11" s="18">
        <v>5</v>
      </c>
    </row>
    <row r="12" spans="1:5">
      <c r="A12" s="17" t="s">
        <v>13</v>
      </c>
      <c r="C12" s="19">
        <f>C11/C10</f>
        <v>0.5</v>
      </c>
      <c r="E12" s="20" t="s">
        <v>14</v>
      </c>
    </row>
    <row r="13" spans="1:5">
      <c r="A13" s="17" t="s">
        <v>15</v>
      </c>
      <c r="C13" s="18">
        <v>2</v>
      </c>
    </row>
    <row r="15" ht="18" spans="1:5">
      <c r="A15" s="3" t="s">
        <v>16</v>
      </c>
    </row>
    <row r="16" spans="1:5">
      <c r="A16" s="4" t="s">
        <v>17</v>
      </c>
      <c r="B16" s="4" t="s">
        <v>18</v>
      </c>
      <c r="C16" s="4" t="s">
        <v>19</v>
      </c>
      <c r="D16" s="4" t="s">
        <v>20</v>
      </c>
    </row>
    <row r="17" ht="43.2" spans="1:4">
      <c r="A17" s="15" t="s">
        <v>21</v>
      </c>
      <c r="B17" s="15" t="s">
        <v>22</v>
      </c>
      <c r="C17" s="15" t="s">
        <v>23</v>
      </c>
      <c r="D17" t="s">
        <v>24</v>
      </c>
    </row>
    <row r="18" ht="43.2" spans="1:4">
      <c r="A18" s="15" t="s">
        <v>21</v>
      </c>
      <c r="B18" s="15" t="s">
        <v>25</v>
      </c>
      <c r="C18" t="s">
        <v>26</v>
      </c>
      <c r="D18" s="15" t="s">
        <v>27</v>
      </c>
    </row>
    <row r="20" ht="18" spans="1:4">
      <c r="A20" s="3" t="s">
        <v>28</v>
      </c>
    </row>
    <row r="21" spans="1:4">
      <c r="A21" s="4" t="s">
        <v>29</v>
      </c>
      <c r="B21" s="4" t="s">
        <v>30</v>
      </c>
      <c r="C21" s="4" t="s">
        <v>31</v>
      </c>
    </row>
    <row r="22" spans="1:4">
      <c r="A22" s="15" t="s">
        <v>32</v>
      </c>
      <c r="B22" s="21">
        <v>1</v>
      </c>
      <c r="C22" s="22" t="s">
        <v>33</v>
      </c>
    </row>
    <row r="23" spans="1:4">
      <c r="A23" s="15" t="s">
        <v>34</v>
      </c>
      <c r="B23" s="21">
        <v>1</v>
      </c>
      <c r="C23" s="22" t="s">
        <v>33</v>
      </c>
    </row>
    <row r="24" spans="1:4">
      <c r="A24" s="15" t="s">
        <v>35</v>
      </c>
      <c r="B24" s="21">
        <v>2</v>
      </c>
      <c r="C24" s="22" t="s">
        <v>33</v>
      </c>
    </row>
    <row r="25" spans="1:4">
      <c r="A25" s="15" t="s">
        <v>36</v>
      </c>
      <c r="B25" s="21">
        <v>1</v>
      </c>
      <c r="C25" s="22" t="s">
        <v>33</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zoomScale="63" zoomScaleNormal="63" topLeftCell="B3" workbookViewId="0">
      <selection activeCell="E5" sqref="E5"/>
    </sheetView>
  </sheetViews>
  <sheetFormatPr defaultColWidth="9" defaultRowHeight="14.4" outlineLevelCol="7"/>
  <cols>
    <col min="1" max="1" width="8" customWidth="1"/>
    <col min="2" max="3" width="18" customWidth="1"/>
    <col min="4" max="4" width="25" customWidth="1"/>
    <col min="5" max="5" width="30" customWidth="1"/>
    <col min="6" max="6" width="35" customWidth="1"/>
    <col min="7" max="7" width="50" customWidth="1"/>
    <col min="8" max="8" width="20" customWidth="1"/>
  </cols>
  <sheetData>
    <row r="1" ht="21" spans="1:8">
      <c r="A1" s="1" t="s">
        <v>37</v>
      </c>
    </row>
    <row r="2" ht="30" customHeight="1" spans="1:8">
      <c r="A2" s="16" t="s">
        <v>38</v>
      </c>
    </row>
    <row r="3" ht="40" customHeight="1" spans="1:8">
      <c r="A3" s="4" t="s">
        <v>39</v>
      </c>
      <c r="B3" s="4" t="s">
        <v>40</v>
      </c>
      <c r="C3" s="4" t="s">
        <v>41</v>
      </c>
      <c r="D3" s="4" t="s">
        <v>42</v>
      </c>
      <c r="E3" s="4" t="s">
        <v>43</v>
      </c>
      <c r="F3" s="4" t="s">
        <v>44</v>
      </c>
      <c r="G3" s="4" t="s">
        <v>45</v>
      </c>
      <c r="H3" s="4" t="s">
        <v>46</v>
      </c>
    </row>
    <row r="4" ht="80" customHeight="1" spans="1:8">
      <c r="A4" s="23" t="s">
        <v>47</v>
      </c>
      <c r="B4" s="7" t="s">
        <v>48</v>
      </c>
      <c r="C4" s="7" t="s">
        <v>32</v>
      </c>
      <c r="D4" s="7" t="s">
        <v>49</v>
      </c>
      <c r="E4" s="7" t="s">
        <v>50</v>
      </c>
      <c r="F4" s="7" t="s">
        <v>51</v>
      </c>
      <c r="G4" s="7" t="s">
        <v>52</v>
      </c>
      <c r="H4" s="7" t="s">
        <v>53</v>
      </c>
    </row>
    <row r="5" ht="80" customHeight="1" spans="1:8">
      <c r="A5" s="23" t="s">
        <v>54</v>
      </c>
      <c r="B5" s="7" t="s">
        <v>55</v>
      </c>
      <c r="C5" s="7" t="s">
        <v>34</v>
      </c>
      <c r="D5" s="7" t="s">
        <v>56</v>
      </c>
      <c r="E5" s="7" t="s">
        <v>57</v>
      </c>
      <c r="F5" s="7" t="s">
        <v>58</v>
      </c>
      <c r="G5" s="6" t="s">
        <v>59</v>
      </c>
      <c r="H5" s="7" t="s">
        <v>60</v>
      </c>
    </row>
    <row r="6" ht="80" customHeight="1" spans="1:8">
      <c r="A6" s="23" t="s">
        <v>61</v>
      </c>
      <c r="B6" s="7" t="s">
        <v>48</v>
      </c>
      <c r="C6" s="7" t="s">
        <v>35</v>
      </c>
      <c r="D6" s="7" t="s">
        <v>62</v>
      </c>
      <c r="E6" s="7" t="s">
        <v>63</v>
      </c>
      <c r="F6" s="7" t="s">
        <v>64</v>
      </c>
      <c r="G6" s="7" t="s">
        <v>65</v>
      </c>
      <c r="H6" s="7" t="s">
        <v>66</v>
      </c>
    </row>
    <row r="7" ht="80" customHeight="1" spans="1:8">
      <c r="A7" s="23" t="s">
        <v>67</v>
      </c>
      <c r="B7" s="7" t="s">
        <v>68</v>
      </c>
      <c r="C7" s="7" t="s">
        <v>35</v>
      </c>
      <c r="D7" s="7" t="s">
        <v>69</v>
      </c>
      <c r="E7" s="7" t="s">
        <v>70</v>
      </c>
      <c r="F7" s="7" t="s">
        <v>71</v>
      </c>
      <c r="G7" s="6" t="s">
        <v>72</v>
      </c>
      <c r="H7" s="7" t="s">
        <v>73</v>
      </c>
    </row>
    <row r="8" ht="80" customHeight="1" spans="1:8">
      <c r="A8" s="23" t="s">
        <v>74</v>
      </c>
      <c r="B8" s="7" t="s">
        <v>48</v>
      </c>
      <c r="C8" s="7" t="s">
        <v>36</v>
      </c>
      <c r="D8" s="7" t="s">
        <v>75</v>
      </c>
      <c r="E8" s="7" t="s">
        <v>76</v>
      </c>
      <c r="F8" s="7" t="s">
        <v>77</v>
      </c>
      <c r="G8" s="7" t="s">
        <v>78</v>
      </c>
      <c r="H8" s="7" t="s">
        <v>79</v>
      </c>
    </row>
    <row r="9" ht="80" customHeight="1" spans="1:8">
      <c r="A9" s="15"/>
      <c r="B9" s="15"/>
      <c r="C9" s="15"/>
      <c r="D9" s="15"/>
      <c r="E9" s="15"/>
      <c r="F9" s="15"/>
      <c r="G9" s="15"/>
      <c r="H9" s="15"/>
    </row>
    <row r="10" ht="80" customHeight="1" spans="1:8">
      <c r="A10" s="15"/>
      <c r="B10" s="15"/>
      <c r="C10" s="15"/>
      <c r="D10" s="15"/>
      <c r="E10" s="15"/>
      <c r="F10" s="15"/>
      <c r="G10" s="15"/>
      <c r="H10" s="15"/>
    </row>
    <row r="11" ht="80" customHeight="1" spans="1:8">
      <c r="A11" s="15"/>
      <c r="B11" s="15"/>
      <c r="C11" s="15"/>
      <c r="D11" s="15"/>
      <c r="E11" s="15"/>
      <c r="F11" s="15"/>
      <c r="G11" s="15"/>
      <c r="H11" s="15"/>
    </row>
    <row r="12" ht="80" customHeight="1" spans="1:8">
      <c r="A12" s="15"/>
      <c r="B12" s="15"/>
      <c r="C12" s="15"/>
      <c r="D12" s="15"/>
      <c r="E12" s="15"/>
      <c r="F12" s="15"/>
      <c r="G12" s="15"/>
      <c r="H12" s="15"/>
    </row>
    <row r="13" ht="80" customHeight="1" spans="1:8">
      <c r="A13" s="15"/>
      <c r="B13" s="15"/>
      <c r="C13" s="15"/>
      <c r="D13" s="15"/>
      <c r="E13" s="15"/>
      <c r="F13" s="15"/>
      <c r="G13" s="15"/>
      <c r="H13" s="15"/>
    </row>
    <row r="14" ht="80" customHeight="1" spans="1:8">
      <c r="A14" s="15"/>
      <c r="B14" s="15"/>
      <c r="C14" s="15"/>
      <c r="D14" s="15"/>
      <c r="E14" s="15"/>
      <c r="F14" s="15"/>
      <c r="G14" s="15"/>
      <c r="H14" s="15"/>
    </row>
    <row r="15" ht="80" customHeight="1" spans="1:8">
      <c r="A15" s="15"/>
      <c r="B15" s="15"/>
      <c r="C15" s="15"/>
      <c r="D15" s="15"/>
      <c r="E15" s="15"/>
      <c r="F15" s="15"/>
      <c r="G15" s="15"/>
      <c r="H15" s="15"/>
    </row>
    <row r="16" ht="80" customHeight="1" spans="1:8">
      <c r="A16" s="15"/>
      <c r="B16" s="15"/>
      <c r="C16" s="15"/>
      <c r="D16" s="15"/>
      <c r="E16" s="15"/>
      <c r="F16" s="15"/>
      <c r="G16" s="15"/>
      <c r="H16" s="15"/>
    </row>
    <row r="17" ht="80" customHeight="1" spans="1:8">
      <c r="A17" s="15"/>
      <c r="B17" s="15"/>
      <c r="C17" s="15"/>
      <c r="D17" s="15"/>
      <c r="E17" s="15"/>
      <c r="F17" s="15"/>
      <c r="G17" s="15"/>
      <c r="H17" s="15"/>
    </row>
    <row r="18" ht="80" customHeight="1" spans="1:8">
      <c r="A18" s="15"/>
      <c r="B18" s="15"/>
      <c r="C18" s="15"/>
      <c r="D18" s="15"/>
      <c r="E18" s="15"/>
      <c r="F18" s="15"/>
      <c r="G18" s="15"/>
      <c r="H18" s="15"/>
    </row>
    <row r="19" ht="80" customHeight="1" spans="1:8">
      <c r="A19" s="15"/>
      <c r="B19" s="15"/>
      <c r="C19" s="15"/>
      <c r="D19" s="15"/>
      <c r="E19" s="15"/>
      <c r="F19" s="15"/>
      <c r="G19" s="15"/>
      <c r="H19" s="15"/>
    </row>
    <row r="20" ht="80" customHeight="1" spans="1:8">
      <c r="A20" s="15"/>
      <c r="B20" s="15"/>
      <c r="C20" s="15"/>
      <c r="D20" s="15"/>
      <c r="E20" s="15"/>
      <c r="F20" s="15"/>
      <c r="G20" s="15"/>
      <c r="H20" s="15"/>
    </row>
    <row r="21" ht="80" customHeight="1" spans="1:8">
      <c r="A21" s="15"/>
      <c r="B21" s="15"/>
      <c r="C21" s="15"/>
      <c r="D21" s="15"/>
      <c r="E21" s="15"/>
      <c r="F21" s="15"/>
      <c r="G21" s="15"/>
      <c r="H21" s="15"/>
    </row>
    <row r="22" ht="80" customHeight="1" spans="1:8">
      <c r="A22" s="15"/>
      <c r="B22" s="15"/>
      <c r="C22" s="15"/>
      <c r="D22" s="15"/>
      <c r="E22" s="15"/>
      <c r="F22" s="15"/>
      <c r="G22" s="15"/>
      <c r="H22" s="15"/>
    </row>
  </sheetData>
  <mergeCells count="2">
    <mergeCell ref="A1:H1"/>
    <mergeCell ref="A2:H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
  <sheetViews>
    <sheetView topLeftCell="B1" workbookViewId="0">
      <selection activeCell="D7" sqref="D7"/>
    </sheetView>
  </sheetViews>
  <sheetFormatPr defaultColWidth="9" defaultRowHeight="14.4" outlineLevelCol="5"/>
  <cols>
    <col min="1" max="1" width="12" customWidth="1"/>
    <col min="2" max="2" width="24.6666666666667" customWidth="1"/>
    <col min="3" max="3" width="37.5555555555556" customWidth="1"/>
    <col min="4" max="4" width="41.4444444444444" customWidth="1"/>
    <col min="5" max="5" width="45.1111111111111" customWidth="1"/>
    <col min="6" max="6" width="40" customWidth="1"/>
  </cols>
  <sheetData>
    <row r="1" ht="21" spans="1:6">
      <c r="A1" s="13" t="s">
        <v>80</v>
      </c>
    </row>
    <row r="2" spans="1:6">
      <c r="A2" s="14" t="s">
        <v>81</v>
      </c>
    </row>
    <row r="3" ht="40" customHeight="1" spans="1:6">
      <c r="A3" s="4" t="s">
        <v>82</v>
      </c>
      <c r="B3" s="4" t="s">
        <v>83</v>
      </c>
      <c r="C3" s="4" t="s">
        <v>84</v>
      </c>
      <c r="D3" s="4" t="s">
        <v>85</v>
      </c>
      <c r="E3" s="4" t="s">
        <v>86</v>
      </c>
      <c r="F3" s="4" t="s">
        <v>87</v>
      </c>
    </row>
    <row r="4" ht="119" customHeight="1" spans="1:6">
      <c r="A4" s="6">
        <v>2</v>
      </c>
      <c r="B4" s="7" t="s">
        <v>88</v>
      </c>
      <c r="C4" s="7" t="s">
        <v>89</v>
      </c>
      <c r="D4" s="7" t="s">
        <v>90</v>
      </c>
      <c r="E4" s="7" t="s">
        <v>91</v>
      </c>
      <c r="F4" s="7" t="s">
        <v>92</v>
      </c>
    </row>
    <row r="5" ht="137" customHeight="1" spans="1:6">
      <c r="A5" s="6">
        <v>4</v>
      </c>
      <c r="B5" s="7" t="s">
        <v>93</v>
      </c>
      <c r="C5" s="7" t="s">
        <v>94</v>
      </c>
      <c r="D5" s="7" t="s">
        <v>95</v>
      </c>
      <c r="E5" s="7" t="s">
        <v>96</v>
      </c>
      <c r="F5" s="7" t="s">
        <v>97</v>
      </c>
    </row>
    <row r="6" ht="60" customHeight="1" spans="1:6">
      <c r="A6" s="15"/>
      <c r="B6" s="15"/>
      <c r="C6" s="15"/>
      <c r="D6" s="15"/>
      <c r="E6" s="15"/>
      <c r="F6" s="15"/>
    </row>
    <row r="7" ht="60" customHeight="1" spans="1:6">
      <c r="A7" s="15"/>
      <c r="B7" s="15"/>
      <c r="C7" s="15"/>
      <c r="D7" s="15"/>
      <c r="E7" s="15"/>
      <c r="F7" s="15"/>
    </row>
    <row r="8" ht="60" customHeight="1" spans="1:6">
      <c r="A8" s="15"/>
      <c r="B8" s="15"/>
      <c r="C8" s="15"/>
      <c r="D8" s="15"/>
      <c r="E8" s="15"/>
      <c r="F8" s="15"/>
    </row>
    <row r="9" ht="60" customHeight="1" spans="1:6">
      <c r="A9" s="15"/>
      <c r="B9" s="15"/>
      <c r="C9" s="15"/>
      <c r="D9" s="15"/>
      <c r="E9" s="15"/>
      <c r="F9" s="15"/>
    </row>
    <row r="10" ht="60" customHeight="1" spans="1:6">
      <c r="A10" s="15"/>
      <c r="B10" s="15"/>
      <c r="C10" s="15"/>
      <c r="D10" s="15"/>
      <c r="E10" s="15"/>
      <c r="F10" s="15"/>
    </row>
    <row r="11" ht="60" customHeight="1" spans="1:6">
      <c r="A11" s="15"/>
      <c r="B11" s="15"/>
      <c r="C11" s="15"/>
      <c r="D11" s="15"/>
      <c r="E11" s="15"/>
      <c r="F11" s="15"/>
    </row>
    <row r="12" ht="60" customHeight="1" spans="1:6">
      <c r="A12" s="15"/>
      <c r="B12" s="15"/>
      <c r="C12" s="15"/>
      <c r="D12" s="15"/>
      <c r="E12" s="15"/>
      <c r="F12" s="15"/>
    </row>
    <row r="13" ht="60" customHeight="1" spans="1:6">
      <c r="A13" s="15"/>
      <c r="B13" s="15"/>
      <c r="C13" s="15"/>
      <c r="D13" s="15"/>
      <c r="E13" s="15"/>
      <c r="F13" s="15"/>
    </row>
    <row r="14" ht="60" customHeight="1" spans="1:6">
      <c r="A14" s="15"/>
      <c r="B14" s="15"/>
      <c r="C14" s="15"/>
      <c r="D14" s="15"/>
      <c r="E14" s="15"/>
      <c r="F14" s="15"/>
    </row>
    <row r="15" ht="60" customHeight="1" spans="1:6">
      <c r="A15" s="15"/>
      <c r="B15" s="15"/>
      <c r="C15" s="15"/>
      <c r="D15" s="15"/>
      <c r="E15" s="15"/>
      <c r="F15" s="15"/>
    </row>
    <row r="16" ht="60" customHeight="1" spans="1:6">
      <c r="A16" s="15"/>
      <c r="B16" s="15"/>
      <c r="C16" s="15"/>
      <c r="D16" s="15"/>
      <c r="E16" s="15"/>
      <c r="F16" s="15"/>
    </row>
    <row r="17" ht="60" customHeight="1" spans="1:6">
      <c r="A17" s="15"/>
      <c r="B17" s="15"/>
      <c r="C17" s="15"/>
      <c r="D17" s="15"/>
      <c r="E17" s="15"/>
      <c r="F17" s="15"/>
    </row>
    <row r="18" ht="60" customHeight="1" spans="1:6">
      <c r="A18" s="15"/>
      <c r="B18" s="15"/>
      <c r="C18" s="15"/>
      <c r="D18" s="15"/>
      <c r="E18" s="15"/>
      <c r="F18" s="15"/>
    </row>
    <row r="19" ht="60" customHeight="1" spans="1:6">
      <c r="A19" s="15"/>
      <c r="B19" s="15"/>
      <c r="C19" s="15"/>
      <c r="D19" s="15"/>
      <c r="E19" s="15"/>
      <c r="F19" s="15"/>
    </row>
    <row r="20" ht="60" customHeight="1" spans="1:6">
      <c r="A20" s="15"/>
      <c r="B20" s="15"/>
      <c r="C20" s="15"/>
      <c r="D20" s="15"/>
      <c r="E20" s="15"/>
      <c r="F20" s="15"/>
    </row>
    <row r="21" ht="60" customHeight="1" spans="1:6">
      <c r="A21" s="15"/>
      <c r="B21" s="15"/>
      <c r="C21" s="15"/>
      <c r="D21" s="15"/>
      <c r="E21" s="15"/>
      <c r="F21" s="15"/>
    </row>
    <row r="27" ht="18" spans="1:6">
      <c r="A27" s="3" t="s">
        <v>98</v>
      </c>
    </row>
    <row r="28" spans="1:6">
      <c r="A28" s="12" t="s">
        <v>99</v>
      </c>
      <c r="B28" s="12" t="s">
        <v>100</v>
      </c>
      <c r="C28" s="12" t="s">
        <v>101</v>
      </c>
    </row>
    <row r="29" ht="28.8" spans="1:6">
      <c r="A29" s="15" t="s">
        <v>102</v>
      </c>
      <c r="B29" s="15" t="s">
        <v>103</v>
      </c>
      <c r="C29" s="15" t="s">
        <v>104</v>
      </c>
    </row>
    <row r="30" ht="28.8" spans="1:6">
      <c r="A30" s="15" t="s">
        <v>105</v>
      </c>
      <c r="B30" s="15" t="s">
        <v>106</v>
      </c>
      <c r="C30" s="15" t="s">
        <v>107</v>
      </c>
    </row>
    <row r="31" ht="28.8" spans="1:6">
      <c r="A31" s="15" t="s">
        <v>108</v>
      </c>
      <c r="B31" s="15" t="s">
        <v>109</v>
      </c>
      <c r="C31" s="15" t="s">
        <v>110</v>
      </c>
    </row>
    <row r="32" ht="28.8" spans="1:6">
      <c r="A32" s="15" t="s">
        <v>111</v>
      </c>
      <c r="B32" s="15" t="s">
        <v>112</v>
      </c>
      <c r="C32" s="15" t="s">
        <v>113</v>
      </c>
    </row>
    <row r="33" ht="43.2" spans="1:3">
      <c r="A33" s="15" t="s">
        <v>114</v>
      </c>
      <c r="B33" s="15" t="s">
        <v>115</v>
      </c>
      <c r="C33" s="15" t="s">
        <v>116</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9"/>
  <sheetViews>
    <sheetView tabSelected="1" topLeftCell="A10" workbookViewId="0">
      <selection activeCell="D28" sqref="D28"/>
    </sheetView>
  </sheetViews>
  <sheetFormatPr defaultColWidth="9" defaultRowHeight="14.4" outlineLevelCol="3"/>
  <cols>
    <col min="1" max="1" width="8" customWidth="1"/>
    <col min="2" max="2" width="47.6666666666667" customWidth="1"/>
    <col min="3" max="3" width="21.1111111111111" customWidth="1"/>
    <col min="4" max="4" width="52.5555555555556" customWidth="1"/>
  </cols>
  <sheetData>
    <row r="1" ht="21" spans="1:4">
      <c r="A1" s="1" t="s">
        <v>117</v>
      </c>
    </row>
    <row r="2" spans="1:4">
      <c r="A2" s="2" t="s">
        <v>118</v>
      </c>
    </row>
    <row r="4" ht="18" spans="1:4">
      <c r="A4" s="3" t="s">
        <v>119</v>
      </c>
    </row>
    <row r="5" ht="15.15" spans="1:4">
      <c r="A5" s="4" t="s">
        <v>120</v>
      </c>
      <c r="B5" s="5" t="s">
        <v>121</v>
      </c>
      <c r="C5" s="4" t="s">
        <v>122</v>
      </c>
      <c r="D5" s="5" t="s">
        <v>123</v>
      </c>
    </row>
    <row r="6" ht="15.15" spans="1:4">
      <c r="A6" s="6" t="s">
        <v>120</v>
      </c>
      <c r="B6" s="6" t="s">
        <v>121</v>
      </c>
      <c r="C6" s="6" t="s">
        <v>122</v>
      </c>
      <c r="D6" s="6" t="s">
        <v>123</v>
      </c>
    </row>
    <row r="7" ht="42.15" spans="1:4">
      <c r="A7" s="6">
        <v>1</v>
      </c>
      <c r="B7" s="7" t="s">
        <v>124</v>
      </c>
      <c r="C7" s="7" t="s">
        <v>125</v>
      </c>
      <c r="D7" s="7" t="s">
        <v>126</v>
      </c>
    </row>
    <row r="8" ht="55.95" spans="1:4">
      <c r="A8" s="6">
        <v>2</v>
      </c>
      <c r="B8" s="7" t="s">
        <v>127</v>
      </c>
      <c r="C8" s="7" t="s">
        <v>125</v>
      </c>
      <c r="D8" s="7" t="s">
        <v>128</v>
      </c>
    </row>
    <row r="9" ht="55.95" spans="1:4">
      <c r="A9" s="6">
        <v>3</v>
      </c>
      <c r="B9" s="7" t="s">
        <v>129</v>
      </c>
      <c r="C9" s="7" t="s">
        <v>125</v>
      </c>
      <c r="D9" s="7" t="s">
        <v>130</v>
      </c>
    </row>
    <row r="10" ht="42.15" spans="1:4">
      <c r="A10" s="6">
        <v>4</v>
      </c>
      <c r="B10" s="7" t="s">
        <v>131</v>
      </c>
      <c r="C10" s="7" t="s">
        <v>125</v>
      </c>
      <c r="D10" s="7" t="s">
        <v>132</v>
      </c>
    </row>
    <row r="11" ht="42.15" spans="1:4">
      <c r="A11" s="6">
        <v>5</v>
      </c>
      <c r="B11" s="7" t="s">
        <v>133</v>
      </c>
      <c r="C11" s="7" t="s">
        <v>125</v>
      </c>
      <c r="D11" s="7" t="s">
        <v>134</v>
      </c>
    </row>
    <row r="12" ht="18" spans="1:4">
      <c r="A12" s="3" t="s">
        <v>135</v>
      </c>
    </row>
    <row r="13" ht="15.15" spans="1:4">
      <c r="A13" s="4" t="s">
        <v>120</v>
      </c>
      <c r="B13" s="5" t="s">
        <v>121</v>
      </c>
      <c r="C13" s="4" t="s">
        <v>122</v>
      </c>
      <c r="D13" s="5" t="s">
        <v>136</v>
      </c>
    </row>
    <row r="14" ht="34" customHeight="1" spans="1:4">
      <c r="A14" s="6">
        <v>1</v>
      </c>
      <c r="B14" s="7" t="s">
        <v>137</v>
      </c>
      <c r="C14" s="7" t="s">
        <v>138</v>
      </c>
      <c r="D14" s="6" t="s">
        <v>139</v>
      </c>
    </row>
    <row r="15" ht="28.35" spans="1:4">
      <c r="A15" s="6">
        <v>2</v>
      </c>
      <c r="B15" s="7" t="s">
        <v>140</v>
      </c>
      <c r="C15" s="7" t="s">
        <v>138</v>
      </c>
      <c r="D15" s="7" t="s">
        <v>141</v>
      </c>
    </row>
    <row r="16" ht="28.35" spans="1:4">
      <c r="A16" s="6">
        <v>3</v>
      </c>
      <c r="B16" s="7" t="s">
        <v>142</v>
      </c>
      <c r="C16" s="7" t="s">
        <v>138</v>
      </c>
      <c r="D16" s="6" t="s">
        <v>143</v>
      </c>
    </row>
    <row r="17" ht="28.35" spans="1:4">
      <c r="A17" s="6">
        <v>4</v>
      </c>
      <c r="B17" s="7" t="s">
        <v>144</v>
      </c>
      <c r="C17" s="7" t="s">
        <v>138</v>
      </c>
      <c r="D17" s="6" t="s">
        <v>145</v>
      </c>
    </row>
    <row r="18" ht="28.35" spans="1:4">
      <c r="A18" s="6">
        <v>5</v>
      </c>
      <c r="B18" s="7" t="s">
        <v>146</v>
      </c>
      <c r="C18" s="7" t="s">
        <v>138</v>
      </c>
      <c r="D18" s="6" t="s">
        <v>147</v>
      </c>
    </row>
    <row r="19" ht="15.6" spans="1:4">
      <c r="A19" s="8" t="s">
        <v>148</v>
      </c>
    </row>
    <row r="20" spans="1:4">
      <c r="A20" s="9" t="s">
        <v>149</v>
      </c>
    </row>
    <row r="21" spans="1:4">
      <c r="A21" s="9" t="s">
        <v>150</v>
      </c>
    </row>
    <row r="24" ht="18" spans="1:4">
      <c r="A24" s="3" t="s">
        <v>151</v>
      </c>
    </row>
    <row r="25" spans="1:4">
      <c r="A25" s="10" t="s">
        <v>152</v>
      </c>
    </row>
    <row r="26" ht="43.95" spans="1:4">
      <c r="A26" s="11" t="s">
        <v>39</v>
      </c>
      <c r="B26" s="12" t="s">
        <v>153</v>
      </c>
      <c r="C26" s="12" t="s">
        <v>154</v>
      </c>
      <c r="D26" s="12" t="s">
        <v>155</v>
      </c>
    </row>
    <row r="27" ht="84" customHeight="1" spans="1:4">
      <c r="A27" s="6" t="s">
        <v>156</v>
      </c>
      <c r="B27" s="7" t="s">
        <v>157</v>
      </c>
      <c r="C27" s="7" t="s">
        <v>158</v>
      </c>
      <c r="D27" s="7" t="s">
        <v>159</v>
      </c>
    </row>
    <row r="28" ht="152.55" spans="1:4">
      <c r="A28" s="6" t="s">
        <v>160</v>
      </c>
      <c r="B28" s="7" t="s">
        <v>161</v>
      </c>
      <c r="C28" s="7" t="s">
        <v>162</v>
      </c>
      <c r="D28" s="7" t="s">
        <v>163</v>
      </c>
    </row>
    <row r="29" ht="152.55" spans="1:4">
      <c r="A29" s="6" t="s">
        <v>164</v>
      </c>
      <c r="B29" s="7" t="s">
        <v>165</v>
      </c>
      <c r="C29" s="7" t="s">
        <v>166</v>
      </c>
      <c r="D29" s="7" t="s">
        <v>167</v>
      </c>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Ánh Nguyễn Hoàng Ngọc</cp:lastModifiedBy>
  <dcterms:created xsi:type="dcterms:W3CDTF">2026-05-07T22:28:00Z</dcterms:created>
  <dcterms:modified xsi:type="dcterms:W3CDTF">2026-06-17T07:01:37Z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512944DADDA042828ACB66CE88668456_13</vt:lpwstr>
  </property>
  <property fmtid="{D5CDD505-2E9C-101B-9397-08002B2CF9AE}" pid="3" name="KSOProductBuildVer">
    <vt:lpwstr>1033-12.1.0.26880</vt:lpwstr>
  </property>
  <property fmtid="{D5CDD505-2E9C-101B-9397-08002B2CF9AE}" pid="4" name="CalculationRule">
    <vt:i4>0</vt:i4>
  </property>
</Properties>
</file>